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comments2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ime Plan" sheetId="1" state="visible" r:id="rId3"/>
    <sheet name="Timeline" sheetId="2" state="visible" r:id="rId4"/>
    <sheet name="Product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6" authorId="0">
      <text>
        <r>
          <rPr>
            <sz val="10"/>
            <rFont val="Arial"/>
            <family val="2"/>
          </rPr>
          <t xml:space="preserve">Dates provided by you (11 Oct 2026).</t>
        </r>
      </text>
    </comment>
    <comment ref="C17" authorId="0">
      <text>
        <r>
          <rPr>
            <sz val="10"/>
            <rFont val="Arial"/>
            <family val="2"/>
          </rPr>
          <t xml:space="preserve">Weighted average unit cost (min) across all products.</t>
        </r>
      </text>
    </comment>
    <comment ref="D17" authorId="0">
      <text>
        <r>
          <rPr>
            <sz val="10"/>
            <rFont val="Arial"/>
            <family val="2"/>
          </rPr>
          <t xml:space="preserve">Weighted average unit cost (max) across all products.</t>
        </r>
      </text>
    </comment>
    <comment ref="K12" authorId="0">
      <text>
        <r>
          <rPr>
            <sz val="10"/>
            <rFont val="Arial"/>
            <family val="2"/>
          </rPr>
          <t xml:space="preserve">Re-order date + the same total lead time (PO → launch) as the first order.</t>
        </r>
      </text>
    </comment>
  </commentList>
</comments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0" authorId="0">
      <text>
        <r>
          <rPr>
            <sz val="10"/>
            <rFont val="Arial"/>
            <family val="2"/>
          </rPr>
          <t xml:space="preserve">Black Friday 2026 is Fri 27 Nov; Cyber Monday is Mon 30 Nov.</t>
        </r>
      </text>
    </comment>
  </commentList>
</comments>
</file>

<file path=xl/sharedStrings.xml><?xml version="1.0" encoding="utf-8"?>
<sst xmlns="http://schemas.openxmlformats.org/spreadsheetml/2006/main" count="112" uniqueCount="80">
  <si>
    <t xml:space="preserve">Product Launch Time Plan – Q4 2026</t>
  </si>
  <si>
    <t xml:space="preserve">Blue cells on yellow are inputs – change them and every date, total and the timeline update automatically.</t>
  </si>
  <si>
    <t xml:space="preserve">Key dates</t>
  </si>
  <si>
    <t xml:space="preserve">Lead times (days)</t>
  </si>
  <si>
    <t xml:space="preserve">Milestone</t>
  </si>
  <si>
    <t xml:space="preserve">Date</t>
  </si>
  <si>
    <t xml:space="preserve">Window</t>
  </si>
  <si>
    <t xml:space="preserve">Days</t>
  </si>
  <si>
    <t xml:space="preserve">Sourcing &amp; PO</t>
  </si>
  <si>
    <t xml:space="preserve">Production / packing (PO → ship)</t>
  </si>
  <si>
    <t xml:space="preserve">Ship (sea / air)</t>
  </si>
  <si>
    <t xml:space="preserve">Transit &amp; customs (ship → launch)</t>
  </si>
  <si>
    <t xml:space="preserve">Launch</t>
  </si>
  <si>
    <t xml:space="preserve">Total lead time (PO → launch)</t>
  </si>
  <si>
    <t xml:space="preserve">Re-order</t>
  </si>
  <si>
    <t xml:space="preserve">Selling days (launch → re-order)</t>
  </si>
  <si>
    <t xml:space="preserve">Products &amp; purchase orders</t>
  </si>
  <si>
    <t xml:space="preserve">Product</t>
  </si>
  <si>
    <t xml:space="preserve">Order qty (units)</t>
  </si>
  <si>
    <t xml:space="preserve">Unit cost min (€)</t>
  </si>
  <si>
    <t xml:space="preserve">Unit cost max (€)</t>
  </si>
  <si>
    <t xml:space="preserve">PO value min (€)</t>
  </si>
  <si>
    <t xml:space="preserve">PO value max (€)</t>
  </si>
  <si>
    <t xml:space="preserve">Re-order stock arrives (est.)</t>
  </si>
  <si>
    <t xml:space="preserve">Units/day to sell out by re-order</t>
  </si>
  <si>
    <t xml:space="preserve">Pet Grooming Hammock Stand Iron</t>
  </si>
  <si>
    <t xml:space="preserve">Dog bark deterrent</t>
  </si>
  <si>
    <t xml:space="preserve">Toilet paper holder stand</t>
  </si>
  <si>
    <t xml:space="preserve">Free standing bird bath feeder</t>
  </si>
  <si>
    <t xml:space="preserve">Total</t>
  </si>
  <si>
    <t xml:space="preserve">Quantities and unit cost ranges provided by you. Unit costs are product cost only – shipping, customs duty, VAT and marketplace fees are not included. Per-product dates follow the key dates above; overwrite a row's date if one product moves.</t>
  </si>
  <si>
    <t xml:space="preserve">Watch-outs</t>
  </si>
  <si>
    <t xml:space="preserve">1. Only 8 days between PO (20 Oct) and shipping (28 Oct): confirm each supplier has stock ready, or production will push the ship date.</t>
  </si>
  <si>
    <t xml:space="preserve">2. 23 days from ship to launch: realistic by air (about 5–10 days). Sea freight door-to-door usually takes 3–6 weeks, so sea risks missing the 20 Nov launch.</t>
  </si>
  <si>
    <t xml:space="preserve">3. Black Friday (27 Nov) and Cyber Monday (30 Nov) fall in your first launch week – have listings and ads live before then.</t>
  </si>
  <si>
    <t xml:space="preserve">4. A re-order on 10 Dec with the same ~31-day lead time arrives around 10 Jan, after Christmas. If sales start fast, bring the re-order forward.</t>
  </si>
  <si>
    <t xml:space="preserve">5. Chinese New Year is 6 Feb 2027; factories close roughly late Jan to late Feb, so place any second re-order by early January.</t>
  </si>
  <si>
    <t xml:space="preserve">Timeline (weekly)</t>
  </si>
  <si>
    <t xml:space="preserve">Dates come from the Key dates on the Time Plan tab. Only the Status column is edited here.</t>
  </si>
  <si>
    <t xml:space="preserve">Phase</t>
  </si>
  <si>
    <t xml:space="preserve">Start</t>
  </si>
  <si>
    <t xml:space="preserve">End</t>
  </si>
  <si>
    <t xml:space="preserve">Status</t>
  </si>
  <si>
    <t xml:space="preserve">Sourcing &amp; PO placed</t>
  </si>
  <si>
    <t xml:space="preserve">Planned</t>
  </si>
  <si>
    <t xml:space="preserve">Production, QC &amp; packing</t>
  </si>
  <si>
    <t xml:space="preserve">Shipping (sea / air) &amp; customs</t>
  </si>
  <si>
    <t xml:space="preserve">Listings, photos &amp; ads set-up</t>
  </si>
  <si>
    <t xml:space="preserve">Black Friday → Cyber Monday</t>
  </si>
  <si>
    <t xml:space="preserve">Selling period (launch → re-order)</t>
  </si>
  <si>
    <t xml:space="preserve">Re-order PO placed</t>
  </si>
  <si>
    <t xml:space="preserve">Re-order production &amp; shipping (est.)</t>
  </si>
  <si>
    <t xml:space="preserve">Blue bar = phase running that week · Orange = one-day milestone · Week columns start on Monday.</t>
  </si>
  <si>
    <t xml:space="preserve">Market</t>
  </si>
  <si>
    <t xml:space="preserve">Local sellers</t>
  </si>
  <si>
    <t xml:space="preserve">Overseas sellers</t>
  </si>
  <si>
    <t xml:space="preserve">Fast (local stock)</t>
  </si>
  <si>
    <t xml:space="preserve">Listings</t>
  </si>
  <si>
    <t xml:space="preserve">Buyers / month</t>
  </si>
  <si>
    <t xml:space="preserve">Buyers per local seller</t>
  </si>
  <si>
    <t xml:space="preserve">Overseas share of sales %</t>
  </si>
  <si>
    <t xml:space="preserve">Typical price</t>
  </si>
  <si>
    <t xml:space="preserve">Currency</t>
  </si>
  <si>
    <t xml:space="preserve">Typical price (US$)</t>
  </si>
  <si>
    <t xml:space="preserve">Verdict</t>
  </si>
  <si>
    <t xml:space="preserve">toilet paper holder stand</t>
  </si>
  <si>
    <t xml:space="preserve">Australia</t>
  </si>
  <si>
    <t xml:space="preserve">A$</t>
  </si>
  <si>
    <t xml:space="preserve">44 listings deliver fast. Crowded with local stock.</t>
  </si>
  <si>
    <t xml:space="preserve">UAE</t>
  </si>
  <si>
    <t xml:space="preserve">AED</t>
  </si>
  <si>
    <t xml:space="preserve">39 listings deliver fast. Crowded with local stock. 2 of 43 ship from overseas.</t>
  </si>
  <si>
    <t xml:space="preserve">free standing bird bath feeder</t>
  </si>
  <si>
    <t xml:space="preserve">40 listings deliver fast. Crowded with local stock. 2 of 45 ship from overseas.</t>
  </si>
  <si>
    <t xml:space="preserve">42 listings deliver fast. Crowded with local stock. 5 of 47 ship from overseas.</t>
  </si>
  <si>
    <t xml:space="preserve">dog bark deterrent</t>
  </si>
  <si>
    <t xml:space="preserve">39 listings deliver fast. Crowded with local stock. 1 of 44 ship from overseas.</t>
  </si>
  <si>
    <t xml:space="preserve">34 listings deliver fast. Crowded with local stock. 5 of 43 ship from overseas.</t>
  </si>
  <si>
    <t xml:space="preserve">24 listings deliver fast. Crowded with local stock. 22 of 47 ship from overseas.</t>
  </si>
  <si>
    <t xml:space="preserve">8 listings deliver fast. Some local competition. 40 of 48 ship from overseas.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</si>
</sst>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ddd\ dd\ mmm\ yyyy"/>
    <numFmt numFmtId="166" formatCode="0"/>
    <numFmt numFmtId="167" formatCode="#,##0"/>
    <numFmt numFmtId="168" formatCode="\€#,##0.00"/>
    <numFmt numFmtId="169" formatCode="\€#,##0"/>
    <numFmt numFmtId="170" formatCode="0.0"/>
    <numFmt numFmtId="171" formatCode="dd\ mmm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1F4E78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0"/>
      <charset val="1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FFFFF"/>
      </patternFill>
    </fill>
    <fill>
      <patternFill patternType="solid">
        <fgColor rgb="FFD9E1F2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9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9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8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8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8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1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ED7D31"/>
        </patternFill>
      </fill>
    </dxf>
    <dxf>
      <fill>
        <patternFill>
          <bgColor rgb="FF5B9BD5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5B9BD5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D7D31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2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10" min="2" style="0" width="15"/>
    <col collapsed="false" customWidth="true" hidden="false" outlineLevel="0" max="11" min="11" style="0" width="17"/>
    <col collapsed="false" customWidth="true" hidden="false" outlineLevel="0" max="12" min="12" style="0" width="15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D4" s="3" t="s">
        <v>3</v>
      </c>
    </row>
    <row r="5" customFormat="false" ht="15" hidden="false" customHeight="true" outlineLevel="0" collapsed="false">
      <c r="A5" s="4" t="s">
        <v>4</v>
      </c>
      <c r="B5" s="4" t="s">
        <v>5</v>
      </c>
      <c r="D5" s="4" t="s">
        <v>6</v>
      </c>
      <c r="E5" s="4"/>
      <c r="F5" s="4"/>
      <c r="G5" s="4" t="s">
        <v>7</v>
      </c>
    </row>
    <row r="6" customFormat="false" ht="15" hidden="false" customHeight="false" outlineLevel="0" collapsed="false">
      <c r="A6" s="5" t="s">
        <v>8</v>
      </c>
      <c r="B6" s="6" t="n">
        <v>46315</v>
      </c>
      <c r="D6" s="5" t="s">
        <v>9</v>
      </c>
      <c r="E6" s="5"/>
      <c r="F6" s="5"/>
      <c r="G6" s="7" t="n">
        <f aca="false">$B$7-$B$6</f>
        <v>8</v>
      </c>
    </row>
    <row r="7" customFormat="false" ht="15" hidden="false" customHeight="false" outlineLevel="0" collapsed="false">
      <c r="A7" s="5" t="s">
        <v>10</v>
      </c>
      <c r="B7" s="6" t="n">
        <v>46323</v>
      </c>
      <c r="D7" s="5" t="s">
        <v>11</v>
      </c>
      <c r="E7" s="5"/>
      <c r="F7" s="5"/>
      <c r="G7" s="7" t="n">
        <f aca="false">$B$8-$B$7</f>
        <v>23</v>
      </c>
    </row>
    <row r="8" customFormat="false" ht="15" hidden="false" customHeight="false" outlineLevel="0" collapsed="false">
      <c r="A8" s="5" t="s">
        <v>12</v>
      </c>
      <c r="B8" s="6" t="n">
        <v>46346</v>
      </c>
      <c r="D8" s="5" t="s">
        <v>13</v>
      </c>
      <c r="E8" s="5"/>
      <c r="F8" s="5"/>
      <c r="G8" s="7" t="n">
        <f aca="false">$B$8-$B$6</f>
        <v>31</v>
      </c>
    </row>
    <row r="9" customFormat="false" ht="15" hidden="false" customHeight="false" outlineLevel="0" collapsed="false">
      <c r="A9" s="5" t="s">
        <v>14</v>
      </c>
      <c r="B9" s="6" t="n">
        <v>46366</v>
      </c>
      <c r="D9" s="5" t="s">
        <v>15</v>
      </c>
      <c r="E9" s="5"/>
      <c r="F9" s="5"/>
      <c r="G9" s="7" t="n">
        <f aca="false">$B$9-$B$8</f>
        <v>20</v>
      </c>
    </row>
    <row r="11" customFormat="false" ht="15" hidden="false" customHeight="false" outlineLevel="0" collapsed="false">
      <c r="A11" s="3" t="s">
        <v>16</v>
      </c>
    </row>
    <row r="12" customFormat="false" ht="42" hidden="false" customHeight="true" outlineLevel="0" collapsed="false">
      <c r="A12" s="4" t="s">
        <v>17</v>
      </c>
      <c r="B12" s="4" t="s">
        <v>18</v>
      </c>
      <c r="C12" s="4" t="s">
        <v>19</v>
      </c>
      <c r="D12" s="4" t="s">
        <v>20</v>
      </c>
      <c r="E12" s="4" t="s">
        <v>21</v>
      </c>
      <c r="F12" s="4" t="s">
        <v>22</v>
      </c>
      <c r="G12" s="4" t="s">
        <v>8</v>
      </c>
      <c r="H12" s="4" t="s">
        <v>10</v>
      </c>
      <c r="I12" s="4" t="s">
        <v>12</v>
      </c>
      <c r="J12" s="4" t="s">
        <v>14</v>
      </c>
      <c r="K12" s="4" t="s">
        <v>23</v>
      </c>
      <c r="L12" s="4" t="s">
        <v>24</v>
      </c>
    </row>
    <row r="13" customFormat="false" ht="15" hidden="false" customHeight="false" outlineLevel="0" collapsed="false">
      <c r="A13" s="5" t="s">
        <v>25</v>
      </c>
      <c r="B13" s="8" t="n">
        <v>80</v>
      </c>
      <c r="C13" s="9" t="n">
        <v>5</v>
      </c>
      <c r="D13" s="9" t="n">
        <v>6</v>
      </c>
      <c r="E13" s="10" t="n">
        <f aca="false">B13*C13</f>
        <v>400</v>
      </c>
      <c r="F13" s="10" t="n">
        <f aca="false">B13*D13</f>
        <v>480</v>
      </c>
      <c r="G13" s="11" t="n">
        <f aca="false">$B$6</f>
        <v>46315</v>
      </c>
      <c r="H13" s="11" t="n">
        <f aca="false">$B$7</f>
        <v>46323</v>
      </c>
      <c r="I13" s="11" t="n">
        <f aca="false">$B$8</f>
        <v>46346</v>
      </c>
      <c r="J13" s="11" t="n">
        <f aca="false">$B$9</f>
        <v>46366</v>
      </c>
      <c r="K13" s="11" t="n">
        <f aca="false">J13+(I13-G13)</f>
        <v>46397</v>
      </c>
      <c r="L13" s="12" t="n">
        <f aca="false">IF(J13&gt;I13,B13/(J13-I13),0)</f>
        <v>4</v>
      </c>
    </row>
    <row r="14" customFormat="false" ht="15" hidden="false" customHeight="false" outlineLevel="0" collapsed="false">
      <c r="A14" s="5" t="s">
        <v>26</v>
      </c>
      <c r="B14" s="8" t="n">
        <v>70</v>
      </c>
      <c r="C14" s="9" t="n">
        <v>6</v>
      </c>
      <c r="D14" s="9" t="n">
        <v>7</v>
      </c>
      <c r="E14" s="10" t="n">
        <f aca="false">B14*C14</f>
        <v>420</v>
      </c>
      <c r="F14" s="10" t="n">
        <f aca="false">B14*D14</f>
        <v>490</v>
      </c>
      <c r="G14" s="11" t="n">
        <f aca="false">$B$6</f>
        <v>46315</v>
      </c>
      <c r="H14" s="11" t="n">
        <f aca="false">$B$7</f>
        <v>46323</v>
      </c>
      <c r="I14" s="11" t="n">
        <f aca="false">$B$8</f>
        <v>46346</v>
      </c>
      <c r="J14" s="11" t="n">
        <f aca="false">$B$9</f>
        <v>46366</v>
      </c>
      <c r="K14" s="11" t="n">
        <f aca="false">J14+(I14-G14)</f>
        <v>46397</v>
      </c>
      <c r="L14" s="12" t="n">
        <f aca="false">IF(J14&gt;I14,B14/(J14-I14),0)</f>
        <v>3.5</v>
      </c>
    </row>
    <row r="15" customFormat="false" ht="15" hidden="false" customHeight="false" outlineLevel="0" collapsed="false">
      <c r="A15" s="5" t="s">
        <v>27</v>
      </c>
      <c r="B15" s="8" t="n">
        <v>50</v>
      </c>
      <c r="C15" s="9" t="n">
        <v>5</v>
      </c>
      <c r="D15" s="9" t="n">
        <v>6</v>
      </c>
      <c r="E15" s="10" t="n">
        <f aca="false">B15*C15</f>
        <v>250</v>
      </c>
      <c r="F15" s="10" t="n">
        <f aca="false">B15*D15</f>
        <v>300</v>
      </c>
      <c r="G15" s="11" t="n">
        <f aca="false">$B$6</f>
        <v>46315</v>
      </c>
      <c r="H15" s="11" t="n">
        <f aca="false">$B$7</f>
        <v>46323</v>
      </c>
      <c r="I15" s="11" t="n">
        <f aca="false">$B$8</f>
        <v>46346</v>
      </c>
      <c r="J15" s="11" t="n">
        <f aca="false">$B$9</f>
        <v>46366</v>
      </c>
      <c r="K15" s="11" t="n">
        <f aca="false">J15+(I15-G15)</f>
        <v>46397</v>
      </c>
      <c r="L15" s="12" t="n">
        <f aca="false">IF(J15&gt;I15,B15/(J15-I15),0)</f>
        <v>2.5</v>
      </c>
    </row>
    <row r="16" customFormat="false" ht="15" hidden="false" customHeight="false" outlineLevel="0" collapsed="false">
      <c r="A16" s="5" t="s">
        <v>28</v>
      </c>
      <c r="B16" s="8" t="n">
        <v>50</v>
      </c>
      <c r="C16" s="9" t="n">
        <v>5</v>
      </c>
      <c r="D16" s="9" t="n">
        <v>6</v>
      </c>
      <c r="E16" s="10" t="n">
        <f aca="false">B16*C16</f>
        <v>250</v>
      </c>
      <c r="F16" s="10" t="n">
        <f aca="false">B16*D16</f>
        <v>300</v>
      </c>
      <c r="G16" s="11" t="n">
        <f aca="false">$B$6</f>
        <v>46315</v>
      </c>
      <c r="H16" s="11" t="n">
        <f aca="false">$B$7</f>
        <v>46323</v>
      </c>
      <c r="I16" s="11" t="n">
        <f aca="false">$B$8</f>
        <v>46346</v>
      </c>
      <c r="J16" s="11" t="n">
        <f aca="false">$B$9</f>
        <v>46366</v>
      </c>
      <c r="K16" s="11" t="n">
        <f aca="false">J16+(I16-G16)</f>
        <v>46397</v>
      </c>
      <c r="L16" s="12" t="n">
        <f aca="false">IF(J16&gt;I16,B16/(J16-I16),0)</f>
        <v>2.5</v>
      </c>
    </row>
    <row r="17" customFormat="false" ht="15" hidden="false" customHeight="false" outlineLevel="0" collapsed="false">
      <c r="A17" s="13" t="s">
        <v>29</v>
      </c>
      <c r="B17" s="14" t="n">
        <f aca="false">SUM(B13:B16)</f>
        <v>250</v>
      </c>
      <c r="C17" s="15" t="n">
        <f aca="false">IF(B17&gt;0,E17/B17,0)</f>
        <v>5.28</v>
      </c>
      <c r="D17" s="15" t="n">
        <f aca="false">IF(B17&gt;0,F17/B17,0)</f>
        <v>6.28</v>
      </c>
      <c r="E17" s="16" t="n">
        <f aca="false">SUM(E13:E16)</f>
        <v>1320</v>
      </c>
      <c r="F17" s="16" t="n">
        <f aca="false">SUM(F13:F16)</f>
        <v>1570</v>
      </c>
      <c r="G17" s="13"/>
      <c r="H17" s="13"/>
      <c r="I17" s="13"/>
      <c r="J17" s="13"/>
      <c r="K17" s="13"/>
      <c r="L17" s="17" t="n">
        <f aca="false">SUM(L13:L16)</f>
        <v>12.5</v>
      </c>
    </row>
    <row r="18" customFormat="false" ht="15" hidden="false" customHeight="false" outlineLevel="0" collapsed="false">
      <c r="A18" s="2" t="s">
        <v>30</v>
      </c>
    </row>
    <row r="20" customFormat="false" ht="15" hidden="false" customHeight="false" outlineLevel="0" collapsed="false">
      <c r="A20" s="3" t="s">
        <v>31</v>
      </c>
    </row>
    <row r="21" customFormat="false" ht="15" hidden="false" customHeight="true" outlineLevel="0" collapsed="false">
      <c r="A21" s="18" t="s">
        <v>32</v>
      </c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</row>
    <row r="22" customFormat="false" ht="15" hidden="false" customHeight="true" outlineLevel="0" collapsed="false">
      <c r="A22" s="18" t="s">
        <v>33</v>
      </c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</row>
    <row r="23" customFormat="false" ht="15" hidden="false" customHeight="true" outlineLevel="0" collapsed="false">
      <c r="A23" s="18" t="s">
        <v>34</v>
      </c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</row>
    <row r="24" customFormat="false" ht="15" hidden="false" customHeight="true" outlineLevel="0" collapsed="false">
      <c r="A24" s="18" t="s">
        <v>35</v>
      </c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</row>
    <row r="25" customFormat="false" ht="15" hidden="false" customHeight="true" outlineLevel="0" collapsed="false">
      <c r="A25" s="18" t="s">
        <v>36</v>
      </c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</row>
  </sheetData>
  <mergeCells count="10">
    <mergeCell ref="D5:F5"/>
    <mergeCell ref="D6:F6"/>
    <mergeCell ref="D7:F7"/>
    <mergeCell ref="D8:F8"/>
    <mergeCell ref="D9:F9"/>
    <mergeCell ref="A21:L21"/>
    <mergeCell ref="A22:L22"/>
    <mergeCell ref="A23:L23"/>
    <mergeCell ref="A24:L24"/>
    <mergeCell ref="A25:L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R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4" topLeftCell="F5" activePane="bottomRight" state="frozen"/>
      <selection pane="topLeft" activeCell="A1" activeCellId="0" sqref="A1"/>
      <selection pane="topRight" activeCell="F1" activeCellId="0" sqref="F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4" min="2" style="0" width="10"/>
    <col collapsed="false" customWidth="true" hidden="false" outlineLevel="0" max="5" min="5" style="0" width="12"/>
    <col collapsed="false" customWidth="true" hidden="false" outlineLevel="0" max="18" min="6" style="0" width="7.5"/>
  </cols>
  <sheetData>
    <row r="1" customFormat="false" ht="17.35" hidden="false" customHeight="false" outlineLevel="0" collapsed="false">
      <c r="A1" s="1" t="s">
        <v>37</v>
      </c>
    </row>
    <row r="2" customFormat="false" ht="15" hidden="false" customHeight="false" outlineLevel="0" collapsed="false">
      <c r="A2" s="2" t="s">
        <v>38</v>
      </c>
    </row>
    <row r="4" customFormat="false" ht="15" hidden="false" customHeight="false" outlineLevel="0" collapsed="false">
      <c r="A4" s="4" t="s">
        <v>39</v>
      </c>
      <c r="B4" s="4" t="s">
        <v>40</v>
      </c>
      <c r="C4" s="4" t="s">
        <v>41</v>
      </c>
      <c r="D4" s="4" t="s">
        <v>7</v>
      </c>
      <c r="E4" s="4" t="s">
        <v>42</v>
      </c>
      <c r="F4" s="19" t="n">
        <f aca="false">'Time Plan'!$B$6-WEEKDAY('Time Plan'!$B$6,3)</f>
        <v>46314</v>
      </c>
      <c r="G4" s="19" t="n">
        <f aca="false">F4+7</f>
        <v>46321</v>
      </c>
      <c r="H4" s="19" t="n">
        <f aca="false">G4+7</f>
        <v>46328</v>
      </c>
      <c r="I4" s="19" t="n">
        <f aca="false">H4+7</f>
        <v>46335</v>
      </c>
      <c r="J4" s="19" t="n">
        <f aca="false">I4+7</f>
        <v>46342</v>
      </c>
      <c r="K4" s="19" t="n">
        <f aca="false">J4+7</f>
        <v>46349</v>
      </c>
      <c r="L4" s="19" t="n">
        <f aca="false">K4+7</f>
        <v>46356</v>
      </c>
      <c r="M4" s="19" t="n">
        <f aca="false">L4+7</f>
        <v>46363</v>
      </c>
      <c r="N4" s="19" t="n">
        <f aca="false">M4+7</f>
        <v>46370</v>
      </c>
      <c r="O4" s="19" t="n">
        <f aca="false">N4+7</f>
        <v>46377</v>
      </c>
      <c r="P4" s="19" t="n">
        <f aca="false">O4+7</f>
        <v>46384</v>
      </c>
      <c r="Q4" s="19" t="n">
        <f aca="false">P4+7</f>
        <v>46391</v>
      </c>
      <c r="R4" s="19" t="n">
        <f aca="false">Q4+7</f>
        <v>46398</v>
      </c>
    </row>
    <row r="5" customFormat="false" ht="15" hidden="false" customHeight="false" outlineLevel="0" collapsed="false">
      <c r="A5" s="5" t="s">
        <v>43</v>
      </c>
      <c r="B5" s="20" t="n">
        <f aca="false">'Time Plan'!$B$6</f>
        <v>46315</v>
      </c>
      <c r="C5" s="20" t="n">
        <f aca="false">'Time Plan'!$B$6</f>
        <v>46315</v>
      </c>
      <c r="D5" s="7" t="n">
        <f aca="false">C5-B5+1</f>
        <v>1</v>
      </c>
      <c r="E5" s="21" t="s">
        <v>44</v>
      </c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</row>
    <row r="6" customFormat="false" ht="15" hidden="false" customHeight="false" outlineLevel="0" collapsed="false">
      <c r="A6" s="5" t="s">
        <v>45</v>
      </c>
      <c r="B6" s="20" t="n">
        <f aca="false">'Time Plan'!$B$6+1</f>
        <v>46316</v>
      </c>
      <c r="C6" s="20" t="n">
        <f aca="false">'Time Plan'!$B$7-1</f>
        <v>46322</v>
      </c>
      <c r="D6" s="7" t="n">
        <f aca="false">C6-B6+1</f>
        <v>7</v>
      </c>
      <c r="E6" s="21" t="s">
        <v>44</v>
      </c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</row>
    <row r="7" customFormat="false" ht="15" hidden="false" customHeight="false" outlineLevel="0" collapsed="false">
      <c r="A7" s="5" t="s">
        <v>46</v>
      </c>
      <c r="B7" s="20" t="n">
        <f aca="false">'Time Plan'!$B$7</f>
        <v>46323</v>
      </c>
      <c r="C7" s="20" t="n">
        <f aca="false">'Time Plan'!$B$8-1</f>
        <v>46345</v>
      </c>
      <c r="D7" s="7" t="n">
        <f aca="false">C7-B7+1</f>
        <v>23</v>
      </c>
      <c r="E7" s="21" t="s">
        <v>44</v>
      </c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</row>
    <row r="8" customFormat="false" ht="15" hidden="false" customHeight="false" outlineLevel="0" collapsed="false">
      <c r="A8" s="5" t="s">
        <v>47</v>
      </c>
      <c r="B8" s="20" t="n">
        <f aca="false">'Time Plan'!$B$7</f>
        <v>46323</v>
      </c>
      <c r="C8" s="20" t="n">
        <f aca="false">'Time Plan'!$B$8-1</f>
        <v>46345</v>
      </c>
      <c r="D8" s="7" t="n">
        <f aca="false">C8-B8+1</f>
        <v>23</v>
      </c>
      <c r="E8" s="21" t="s">
        <v>44</v>
      </c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</row>
    <row r="9" customFormat="false" ht="15" hidden="false" customHeight="false" outlineLevel="0" collapsed="false">
      <c r="A9" s="5" t="s">
        <v>12</v>
      </c>
      <c r="B9" s="20" t="n">
        <f aca="false">'Time Plan'!$B$8</f>
        <v>46346</v>
      </c>
      <c r="C9" s="20" t="n">
        <f aca="false">'Time Plan'!$B$8</f>
        <v>46346</v>
      </c>
      <c r="D9" s="7" t="n">
        <f aca="false">C9-B9+1</f>
        <v>1</v>
      </c>
      <c r="E9" s="21" t="s">
        <v>44</v>
      </c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</row>
    <row r="10" customFormat="false" ht="15" hidden="false" customHeight="false" outlineLevel="0" collapsed="false">
      <c r="A10" s="5" t="s">
        <v>48</v>
      </c>
      <c r="B10" s="20" t="n">
        <f aca="false">DATE(2026,11,27)</f>
        <v>46353</v>
      </c>
      <c r="C10" s="20" t="n">
        <f aca="false">DATE(2026,11,30)</f>
        <v>46356</v>
      </c>
      <c r="D10" s="7" t="n">
        <f aca="false">C10-B10+1</f>
        <v>4</v>
      </c>
      <c r="E10" s="21" t="s">
        <v>44</v>
      </c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</row>
    <row r="11" customFormat="false" ht="15" hidden="false" customHeight="false" outlineLevel="0" collapsed="false">
      <c r="A11" s="5" t="s">
        <v>49</v>
      </c>
      <c r="B11" s="20" t="n">
        <f aca="false">'Time Plan'!$B$8</f>
        <v>46346</v>
      </c>
      <c r="C11" s="20" t="n">
        <f aca="false">'Time Plan'!$B$9</f>
        <v>46366</v>
      </c>
      <c r="D11" s="7" t="n">
        <f aca="false">C11-B11+1</f>
        <v>21</v>
      </c>
      <c r="E11" s="21" t="s">
        <v>44</v>
      </c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</row>
    <row r="12" customFormat="false" ht="15" hidden="false" customHeight="false" outlineLevel="0" collapsed="false">
      <c r="A12" s="5" t="s">
        <v>50</v>
      </c>
      <c r="B12" s="20" t="n">
        <f aca="false">'Time Plan'!$B$9</f>
        <v>46366</v>
      </c>
      <c r="C12" s="20" t="n">
        <f aca="false">'Time Plan'!$B$9</f>
        <v>46366</v>
      </c>
      <c r="D12" s="7" t="n">
        <f aca="false">C12-B12+1</f>
        <v>1</v>
      </c>
      <c r="E12" s="21" t="s">
        <v>44</v>
      </c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</row>
    <row r="13" customFormat="false" ht="15" hidden="false" customHeight="false" outlineLevel="0" collapsed="false">
      <c r="A13" s="5" t="s">
        <v>51</v>
      </c>
      <c r="B13" s="20" t="n">
        <f aca="false">'Time Plan'!$B$9+1</f>
        <v>46367</v>
      </c>
      <c r="C13" s="20" t="n">
        <f aca="false">'Time Plan'!$B$9+('Time Plan'!$B$8-'Time Plan'!$B$6)</f>
        <v>46397</v>
      </c>
      <c r="D13" s="7" t="n">
        <f aca="false">C13-B13+1</f>
        <v>31</v>
      </c>
      <c r="E13" s="21" t="s">
        <v>44</v>
      </c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</row>
    <row r="14" customFormat="false" ht="15" hidden="false" customHeight="false" outlineLevel="0" collapsed="false">
      <c r="A14" s="2" t="s">
        <v>52</v>
      </c>
    </row>
  </sheetData>
  <conditionalFormatting sqref="F5:R13">
    <cfRule type="expression" priority="2" aboveAverage="0" equalAverage="0" bottom="0" percent="0" rank="0" text="" dxfId="0">
      <formula>AND($B5=$C5,AND(F$4&lt;=$C5,F$4+6&gt;=$B5))</formula>
    </cfRule>
    <cfRule type="expression" priority="3" aboveAverage="0" equalAverage="0" bottom="0" percent="0" rank="0" text="" dxfId="1">
      <formula>AND(F$4&lt;=$C5,F$4+6&gt;=$B5)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17</v>
      </c>
      <c r="B1" s="0" t="s">
        <v>53</v>
      </c>
      <c r="C1" s="0" t="s">
        <v>54</v>
      </c>
      <c r="D1" s="0" t="s">
        <v>55</v>
      </c>
      <c r="E1" s="0" t="s">
        <v>56</v>
      </c>
      <c r="F1" s="0" t="s">
        <v>57</v>
      </c>
      <c r="G1" s="0" t="s">
        <v>58</v>
      </c>
      <c r="H1" s="0" t="s">
        <v>59</v>
      </c>
      <c r="I1" s="0" t="s">
        <v>60</v>
      </c>
      <c r="J1" s="0" t="s">
        <v>61</v>
      </c>
      <c r="K1" s="0" t="s">
        <v>62</v>
      </c>
      <c r="L1" s="0" t="s">
        <v>63</v>
      </c>
      <c r="M1" s="0" t="s">
        <v>64</v>
      </c>
    </row>
    <row r="2" customFormat="false" ht="15" hidden="false" customHeight="false" outlineLevel="0" collapsed="false">
      <c r="A2" s="0" t="s">
        <v>65</v>
      </c>
      <c r="B2" s="0" t="s">
        <v>66</v>
      </c>
      <c r="C2" s="0" t="n">
        <v>44</v>
      </c>
      <c r="D2" s="0" t="n">
        <v>0</v>
      </c>
      <c r="E2" s="0" t="n">
        <v>44</v>
      </c>
      <c r="F2" s="0" t="n">
        <v>44</v>
      </c>
      <c r="G2" s="0" t="n">
        <v>485.2</v>
      </c>
      <c r="H2" s="0" t="n">
        <v>11</v>
      </c>
      <c r="I2" s="0" t="n">
        <v>0</v>
      </c>
      <c r="J2" s="0" t="n">
        <v>29.99</v>
      </c>
      <c r="K2" s="0" t="s">
        <v>67</v>
      </c>
      <c r="L2" s="0" t="n">
        <v>19.35</v>
      </c>
      <c r="M2" s="0" t="s">
        <v>68</v>
      </c>
    </row>
    <row r="3" customFormat="false" ht="15" hidden="false" customHeight="false" outlineLevel="0" collapsed="false">
      <c r="A3" s="0" t="s">
        <v>65</v>
      </c>
      <c r="B3" s="0" t="s">
        <v>69</v>
      </c>
      <c r="C3" s="0" t="n">
        <v>39</v>
      </c>
      <c r="D3" s="0" t="n">
        <v>2</v>
      </c>
      <c r="E3" s="0" t="n">
        <v>39</v>
      </c>
      <c r="F3" s="0" t="n">
        <v>43</v>
      </c>
      <c r="J3" s="0" t="n">
        <v>61.27</v>
      </c>
      <c r="K3" s="0" t="s">
        <v>70</v>
      </c>
      <c r="L3" s="0" t="n">
        <v>16.68</v>
      </c>
      <c r="M3" s="0" t="s">
        <v>71</v>
      </c>
    </row>
    <row r="4" customFormat="false" ht="15" hidden="false" customHeight="false" outlineLevel="0" collapsed="false">
      <c r="A4" s="0" t="s">
        <v>72</v>
      </c>
      <c r="B4" s="0" t="s">
        <v>66</v>
      </c>
      <c r="C4" s="0" t="n">
        <v>41</v>
      </c>
      <c r="D4" s="0" t="n">
        <v>2</v>
      </c>
      <c r="E4" s="0" t="n">
        <v>40</v>
      </c>
      <c r="F4" s="0" t="n">
        <v>45</v>
      </c>
      <c r="G4" s="0" t="n">
        <v>207.9</v>
      </c>
      <c r="H4" s="0" t="n">
        <v>5.1</v>
      </c>
      <c r="I4" s="0" t="n">
        <v>0</v>
      </c>
      <c r="J4" s="0" t="n">
        <v>37.99</v>
      </c>
      <c r="K4" s="0" t="s">
        <v>67</v>
      </c>
      <c r="L4" s="0" t="n">
        <v>24.51</v>
      </c>
      <c r="M4" s="0" t="s">
        <v>73</v>
      </c>
    </row>
    <row r="5" customFormat="false" ht="15" hidden="false" customHeight="false" outlineLevel="0" collapsed="false">
      <c r="A5" s="0" t="s">
        <v>72</v>
      </c>
      <c r="B5" s="0" t="s">
        <v>69</v>
      </c>
      <c r="C5" s="0" t="n">
        <v>42</v>
      </c>
      <c r="D5" s="0" t="n">
        <v>5</v>
      </c>
      <c r="E5" s="0" t="n">
        <v>42</v>
      </c>
      <c r="F5" s="0" t="n">
        <v>47</v>
      </c>
      <c r="J5" s="0" t="n">
        <v>89.99</v>
      </c>
      <c r="K5" s="0" t="s">
        <v>70</v>
      </c>
      <c r="L5" s="0" t="n">
        <v>24.5</v>
      </c>
      <c r="M5" s="0" t="s">
        <v>74</v>
      </c>
    </row>
    <row r="6" customFormat="false" ht="15" hidden="false" customHeight="false" outlineLevel="0" collapsed="false">
      <c r="A6" s="0" t="s">
        <v>75</v>
      </c>
      <c r="B6" s="0" t="s">
        <v>66</v>
      </c>
      <c r="C6" s="0" t="n">
        <v>39</v>
      </c>
      <c r="D6" s="0" t="n">
        <v>1</v>
      </c>
      <c r="E6" s="0" t="n">
        <v>39</v>
      </c>
      <c r="F6" s="0" t="n">
        <v>44</v>
      </c>
      <c r="G6" s="0" t="n">
        <v>1869.3</v>
      </c>
      <c r="H6" s="0" t="n">
        <v>47.9</v>
      </c>
      <c r="I6" s="0" t="n">
        <v>4</v>
      </c>
      <c r="J6" s="0" t="n">
        <v>32.99</v>
      </c>
      <c r="K6" s="0" t="s">
        <v>67</v>
      </c>
      <c r="L6" s="0" t="n">
        <v>21.28</v>
      </c>
      <c r="M6" s="0" t="s">
        <v>76</v>
      </c>
    </row>
    <row r="7" customFormat="false" ht="15" hidden="false" customHeight="false" outlineLevel="0" collapsed="false">
      <c r="A7" s="0" t="s">
        <v>75</v>
      </c>
      <c r="B7" s="0" t="s">
        <v>69</v>
      </c>
      <c r="C7" s="0" t="n">
        <v>34</v>
      </c>
      <c r="D7" s="0" t="n">
        <v>5</v>
      </c>
      <c r="E7" s="0" t="n">
        <v>34</v>
      </c>
      <c r="F7" s="0" t="n">
        <v>43</v>
      </c>
      <c r="G7" s="0" t="n">
        <v>69.3</v>
      </c>
      <c r="H7" s="0" t="n">
        <v>2</v>
      </c>
      <c r="I7" s="0" t="n">
        <v>0</v>
      </c>
      <c r="J7" s="0" t="n">
        <v>72.5</v>
      </c>
      <c r="K7" s="0" t="s">
        <v>70</v>
      </c>
      <c r="L7" s="0" t="n">
        <v>19.74</v>
      </c>
      <c r="M7" s="0" t="s">
        <v>77</v>
      </c>
    </row>
    <row r="8" customFormat="false" ht="15" hidden="false" customHeight="false" outlineLevel="0" collapsed="false">
      <c r="A8" s="0" t="s">
        <v>25</v>
      </c>
      <c r="B8" s="0" t="s">
        <v>66</v>
      </c>
      <c r="C8" s="0" t="n">
        <v>25</v>
      </c>
      <c r="D8" s="0" t="n">
        <v>22</v>
      </c>
      <c r="E8" s="0" t="n">
        <v>24</v>
      </c>
      <c r="F8" s="0" t="n">
        <v>47</v>
      </c>
      <c r="G8" s="0" t="n">
        <v>277.3</v>
      </c>
      <c r="H8" s="0" t="n">
        <v>11.1</v>
      </c>
      <c r="I8" s="0" t="n">
        <v>100</v>
      </c>
      <c r="J8" s="0" t="n">
        <v>39.99</v>
      </c>
      <c r="K8" s="0" t="s">
        <v>67</v>
      </c>
      <c r="L8" s="0" t="n">
        <v>25.8</v>
      </c>
      <c r="M8" s="0" t="s">
        <v>78</v>
      </c>
    </row>
    <row r="9" customFormat="false" ht="15" hidden="false" customHeight="false" outlineLevel="0" collapsed="false">
      <c r="A9" s="0" t="s">
        <v>25</v>
      </c>
      <c r="B9" s="0" t="s">
        <v>69</v>
      </c>
      <c r="C9" s="0" t="n">
        <v>8</v>
      </c>
      <c r="D9" s="0" t="n">
        <v>40</v>
      </c>
      <c r="E9" s="0" t="n">
        <v>8</v>
      </c>
      <c r="F9" s="0" t="n">
        <v>48</v>
      </c>
      <c r="J9" s="0" t="n">
        <v>112.19</v>
      </c>
      <c r="K9" s="0" t="s">
        <v>70</v>
      </c>
      <c r="L9" s="0" t="n">
        <v>30.55</v>
      </c>
      <c r="M9" s="0" t="s">
        <v>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2026-10-11T22:31:18Z</dcterms:created>
  <dc:creator>openpyxl</dc:creator>
  <dc:description/>
  <dc:language>en-US</dc:language>
  <cp:lastModifiedBy/>
  <dcterms:modified xsi:type="dcterms:W3CDTF">2026-10-11T22:34:23Z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